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mobileusa-my.sharepoint.com/personal/steven_yost3_t-mobile_com/Documents/Documents/git/scripts/automation/bgp-check/"/>
    </mc:Choice>
  </mc:AlternateContent>
  <xr:revisionPtr revIDLastSave="0" documentId="8_{371EB434-A1FA-48DC-A34E-6F368F3F1108}" xr6:coauthVersionLast="47" xr6:coauthVersionMax="47" xr10:uidLastSave="{00000000-0000-0000-0000-000000000000}"/>
  <bookViews>
    <workbookView xWindow="-120" yWindow="-120" windowWidth="38640" windowHeight="21120" xr2:uid="{94B9277D-92BA-42A5-814D-C578B70D7F43}"/>
  </bookViews>
  <sheets>
    <sheet name="circu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 a="1"/>
  <c r="K3" i="1" s="1"/>
  <c r="K19" i="1" a="1"/>
  <c r="K19" i="1" s="1"/>
  <c r="K20" i="1" a="1"/>
  <c r="K20" i="1" s="1"/>
  <c r="K17" i="1" a="1"/>
  <c r="K17" i="1" s="1"/>
  <c r="K18" i="1" a="1"/>
  <c r="K18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<sst xmlns="http://schemas.openxmlformats.org/spreadsheetml/2006/main" count="133" uniqueCount="99">
  <si>
    <t>Service/Circuit</t>
  </si>
  <si>
    <t>NXWASEADX01 - eth1/52</t>
  </si>
  <si>
    <t>NXKSOPHEX01 - eth1/52</t>
  </si>
  <si>
    <t>"A" -END -Router</t>
  </si>
  <si>
    <t>"Z"-END-Router</t>
  </si>
  <si>
    <t>A-End - City/State</t>
  </si>
  <si>
    <t>Overland Park, KS</t>
  </si>
  <si>
    <t>Bellevue, WA</t>
  </si>
  <si>
    <t>Type</t>
  </si>
  <si>
    <t>A-End - Address</t>
  </si>
  <si>
    <t>6100 Sprint Parkway -&gt; 6220 Sprint Parkway -&gt;6360 Sprint Parkway 4th floor</t>
  </si>
  <si>
    <t>Notes</t>
  </si>
  <si>
    <t>PTP-100G Between Studio</t>
  </si>
  <si>
    <t>WAVE</t>
  </si>
  <si>
    <t>650 131ST AVE SE, FL 1, RM 9999, BELLEVUE, WA, 98006-1395</t>
  </si>
  <si>
    <t>Z-End - Address</t>
  </si>
  <si>
    <t>NXWASEADX01 - eth1/46</t>
  </si>
  <si>
    <t>Frisco, TX</t>
  </si>
  <si>
    <t>Location Address3650 131ST AVE SE, FL 1, RM 1, BELLEVUE, WA, 98006</t>
  </si>
  <si>
    <t>NXTXFRSBX01 - eth1/46</t>
  </si>
  <si>
    <t>NXKSOPHEX01 - eth1/46</t>
  </si>
  <si>
    <t>6100 SPRINT PKWY, FL 1, RM MMR, OVERLAND PARK, KS, 66211</t>
  </si>
  <si>
    <t>NXKSOPHEW01 - eth1/47</t>
  </si>
  <si>
    <t>1212 E 19TH ST, FL 1, RM 100, KANSAS CITY, MO, 64108</t>
  </si>
  <si>
    <t>NXKSOPHEW02 - eth1/47</t>
  </si>
  <si>
    <t>3650 131ST AVE SE, FL 2, RM MDF, BELLEVUE, WA, 98006</t>
  </si>
  <si>
    <t>2001 6TH AVE, RM B001, SEATTLE, WA, 98121</t>
  </si>
  <si>
    <t>DIA</t>
  </si>
  <si>
    <t>NXWASEADW01 - eth1/46</t>
  </si>
  <si>
    <t>lag-32-3890-99.ear2.Seattle1.Level3.net</t>
  </si>
  <si>
    <t>3650 131ST AVE SE, FL 2, RM MDF, BELLEVUE, WA, 9800</t>
  </si>
  <si>
    <t>NXWASEADW02 - eth1/46</t>
  </si>
  <si>
    <t>Unknown</t>
  </si>
  <si>
    <t>HS IP</t>
  </si>
  <si>
    <t>3650 131ST AVE SE, FL 1, RM 1, BELLEVUE, WA, 98006</t>
  </si>
  <si>
    <t>NXWASEADW02 - eth1/47</t>
  </si>
  <si>
    <t>xe-9-0-1.edge1.Seattle3.Level3.net</t>
  </si>
  <si>
    <t>3560 DALLAS PKWY, FL 1, RM TELC, FRISCO, TX, 75034</t>
  </si>
  <si>
    <t>NXWASEADX02 - eth1/46</t>
  </si>
  <si>
    <t>3650 131ST AVE SE, FL 1, BELLEVUE, WA, 98006</t>
  </si>
  <si>
    <t>NXTXFRSBX02 - eth1/46</t>
  </si>
  <si>
    <t>100G WA-TX</t>
  </si>
  <si>
    <t>6100 SPRINT PKWY, RM TELC, OVERLAND PARK, KS, 66211</t>
  </si>
  <si>
    <t>NXWASEADX02 - eth1/52</t>
  </si>
  <si>
    <t>100G WA-KS</t>
  </si>
  <si>
    <t>NXKSOPHEX02 - eth1/52</t>
  </si>
  <si>
    <t>3650 131ST AVE SE, FL 1, RM 9999, BELLEVUE, WA, 98006</t>
  </si>
  <si>
    <t>NXKSOPHEX02 - eth1/46</t>
  </si>
  <si>
    <t>13410 NE 16TH ST, FL 1, RM MPOE, BELLEVUE, WA, 98005</t>
  </si>
  <si>
    <t>NXKSOPHEX02 - eth1/46 (per lldp)</t>
  </si>
  <si>
    <t>xe-5-0-2.edge2.Seattle3.Level3.net</t>
  </si>
  <si>
    <t>NXWASEADW01 -eth1/47</t>
  </si>
  <si>
    <t>NXWASEADX01 - eth1/46 (per lldp)</t>
  </si>
  <si>
    <t>6100 SPRINT PKWY, FL 1, RM TELC, OVERLAND PARK, KS, 66211</t>
  </si>
  <si>
    <t>NX List</t>
  </si>
  <si>
    <t>NXWABELGX01</t>
  </si>
  <si>
    <t>NXWABELGX02</t>
  </si>
  <si>
    <t>NXWASEADW01</t>
  </si>
  <si>
    <t>NXWASEADW02</t>
  </si>
  <si>
    <t>NXWASEADX01</t>
  </si>
  <si>
    <t>NXWASEADX02</t>
  </si>
  <si>
    <t>NXKSOPHEP01</t>
  </si>
  <si>
    <t>NXKSOPHEP02</t>
  </si>
  <si>
    <t>nxksophew01</t>
  </si>
  <si>
    <t>nxksophew02</t>
  </si>
  <si>
    <t>NXKSOPHEW181</t>
  </si>
  <si>
    <t>NXKSOPHEW191</t>
  </si>
  <si>
    <t>NXKSOPHEX01</t>
  </si>
  <si>
    <t>NXKSOPHEX02</t>
  </si>
  <si>
    <t>Present</t>
  </si>
  <si>
    <t>NXTXFRSBX01</t>
  </si>
  <si>
    <t>NXTXFRSBX02</t>
  </si>
  <si>
    <t>10G - Desc on inter needs updating w/ cir #</t>
  </si>
  <si>
    <t>BELGX01/01 not online yet</t>
  </si>
  <si>
    <t>HEP01/02 WEBCAST</t>
  </si>
  <si>
    <t>W181/191 WEBCAST</t>
  </si>
  <si>
    <t>L01/02  Lab</t>
  </si>
  <si>
    <t>10GIG TX-KS</t>
  </si>
  <si>
    <t>1G WA internet</t>
  </si>
  <si>
    <t>10G KS Internet</t>
  </si>
  <si>
    <t>10G WA internet</t>
  </si>
  <si>
    <t>10G KS-&gt; 5GUplink? Lldp to itself</t>
  </si>
  <si>
    <t>NX93180L01</t>
  </si>
  <si>
    <t>NX93180L02</t>
  </si>
  <si>
    <t>NOTES:</t>
  </si>
  <si>
    <t>339221759; 339221760; 339221761</t>
  </si>
  <si>
    <t>355765448; 355765480; 355765481</t>
  </si>
  <si>
    <t>351599400; 351599405; 351599406</t>
  </si>
  <si>
    <t>10G WA-&gt; 5G-Uplink (Lldp to itself)</t>
  </si>
  <si>
    <t>334795237; 334795238; 334795239; 334795240</t>
  </si>
  <si>
    <t>345139691; 345139692; 345139693; 345139694</t>
  </si>
  <si>
    <t>345071371; 345071372; 345071373; 345071374</t>
  </si>
  <si>
    <t>341680871; 341680872; 341680873; 341680874</t>
  </si>
  <si>
    <t xml:space="preserve">351599447; 351599470;351599471 </t>
  </si>
  <si>
    <t>339221762; 339221763; 339221764</t>
  </si>
  <si>
    <t>355765405; 355765409; 355765410; 355765411</t>
  </si>
  <si>
    <t>Service Component ID</t>
  </si>
  <si>
    <t>6100 SPRINT PKWY, FL 1, RM MMR, OVERLAND PARK, KS, 6621</t>
  </si>
  <si>
    <t>10G KS-&gt;Internet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</si>
</sst>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62425"/>
      <name val="Arial"/>
      <family val="2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rgb="FF262425"/>
      <name val="Aptos Narrow"/>
      <family val="2"/>
      <scheme val="minor"/>
    </font>
    <font>
      <sz val="14"/>
      <color rgb="FF262425"/>
      <name val="Aptos Narrow"/>
      <family val="2"/>
    </font>
    <font>
      <sz val="12"/>
      <color theme="1"/>
      <name val="Aptos Narrow"/>
      <family val="2"/>
      <scheme val="minor"/>
    </font>
    <font>
      <strike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262425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/>
    <xf numFmtId="0" fontId="3" fillId="2" borderId="0" xfId="0" applyFont="1" applyFill="1" applyAlignment="1">
      <alignment horizontal="center"/>
    </xf>
    <xf numFmtId="0" fontId="3" fillId="2" borderId="0" xfId="0" applyFont="1" applyFill="1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" fillId="6" borderId="0" xfId="0" applyFont="1" applyFill="1"/>
    <xf numFmtId="0" fontId="8" fillId="6" borderId="0" xfId="0" applyFont="1" applyFill="1"/>
    <xf numFmtId="0" fontId="5" fillId="6" borderId="0" xfId="0" applyFont="1" applyFill="1"/>
    <xf numFmtId="0" fontId="6" fillId="6" borderId="0" xfId="0" applyFont="1" applyFill="1"/>
    <xf numFmtId="0" fontId="5" fillId="0" borderId="0" xfId="0" applyFont="1" applyAlignment="1">
      <alignment horizontal="center"/>
    </xf>
    <xf numFmtId="0" fontId="2" fillId="0" borderId="0" xfId="0" applyFont="1"/>
    <xf numFmtId="3" fontId="10" fillId="0" borderId="0" xfId="0" applyNumberFormat="1" applyFont="1" applyAlignment="1">
      <alignment horizontal="left"/>
    </xf>
    <xf numFmtId="0" fontId="10" fillId="6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7" borderId="0" xfId="0" applyFill="1" applyAlignment="1">
      <alignment horizontal="center"/>
    </xf>
    <xf numFmtId="0" fontId="7" fillId="7" borderId="0" xfId="0" applyFont="1" applyFill="1"/>
    <xf numFmtId="0" fontId="0" fillId="8" borderId="0" xfId="0" applyFill="1" applyAlignment="1">
      <alignment horizontal="center"/>
    </xf>
    <xf numFmtId="0" fontId="7" fillId="8" borderId="0" xfId="0" applyFont="1" applyFill="1"/>
    <xf numFmtId="0" fontId="0" fillId="9" borderId="0" xfId="0" applyFill="1" applyAlignment="1">
      <alignment horizontal="center"/>
    </xf>
    <xf numFmtId="0" fontId="7" fillId="9" borderId="0" xfId="0" applyFont="1" applyFill="1"/>
    <xf numFmtId="0" fontId="0" fillId="10" borderId="0" xfId="0" applyFill="1" applyAlignment="1">
      <alignment horizontal="center"/>
    </xf>
    <xf numFmtId="0" fontId="0" fillId="10" borderId="0" xfId="0" applyFill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F0CB9-2C28-4F30-A2F4-9ED8ADD460DF}">
  <dimension ref="A1:AS27"/>
  <sheetViews>
    <sheetView tabSelected="1" zoomScale="90" zoomScaleNormal="90" workbookViewId="0">
      <pane xSplit="1" topLeftCell="B1" activePane="topRight" state="frozen"/>
      <selection pane="topRight" activeCell="J47" sqref="J47"/>
    </sheetView>
  </sheetViews>
  <sheetFormatPr defaultRowHeight="15" x14ac:dyDescent="0.25"/>
  <cols>
    <col min="1" max="1" width="34.5703125" style="2" bestFit="1" customWidth="1"/>
    <col min="2" max="2" width="57.140625" style="2" customWidth="1"/>
    <col min="3" max="3" width="15.28515625" style="2" customWidth="1"/>
    <col min="4" max="4" width="35.85546875" style="2" customWidth="1"/>
    <col min="5" max="5" width="82.5703125" customWidth="1"/>
    <col min="6" max="6" width="43.7109375" customWidth="1"/>
    <col min="7" max="7" width="79.85546875" customWidth="1"/>
    <col min="8" max="8" width="45.7109375" customWidth="1"/>
    <col min="9" max="9" width="60.42578125" customWidth="1"/>
    <col min="10" max="10" width="29.28515625" customWidth="1"/>
    <col min="11" max="11" width="24.7109375" customWidth="1"/>
  </cols>
  <sheetData>
    <row r="1" spans="1:45" s="4" customFormat="1" ht="18.75" x14ac:dyDescent="0.3">
      <c r="A1" s="3"/>
      <c r="B1" s="15"/>
      <c r="C1" s="3"/>
      <c r="D1" s="3"/>
    </row>
    <row r="2" spans="1:45" s="9" customFormat="1" ht="18.75" x14ac:dyDescent="0.3">
      <c r="A2" s="5" t="s">
        <v>0</v>
      </c>
      <c r="B2" s="16" t="s">
        <v>96</v>
      </c>
      <c r="C2" s="5" t="s">
        <v>8</v>
      </c>
      <c r="D2" s="6" t="s">
        <v>5</v>
      </c>
      <c r="E2" s="6" t="s">
        <v>9</v>
      </c>
      <c r="F2" s="6" t="s">
        <v>3</v>
      </c>
      <c r="G2" s="7" t="s">
        <v>15</v>
      </c>
      <c r="H2" s="7" t="s">
        <v>4</v>
      </c>
      <c r="I2" s="8" t="s">
        <v>11</v>
      </c>
      <c r="J2" s="1" t="s">
        <v>54</v>
      </c>
      <c r="K2" s="1" t="s">
        <v>69</v>
      </c>
    </row>
    <row r="3" spans="1:45" s="11" customFormat="1" ht="18.75" x14ac:dyDescent="0.3">
      <c r="A3" s="3">
        <v>442981119</v>
      </c>
      <c r="B3" s="25" t="s">
        <v>85</v>
      </c>
      <c r="C3" s="3" t="s">
        <v>13</v>
      </c>
      <c r="D3" s="3" t="s">
        <v>6</v>
      </c>
      <c r="E3" s="4" t="s">
        <v>10</v>
      </c>
      <c r="F3" s="4" t="s">
        <v>2</v>
      </c>
      <c r="G3" s="4" t="s">
        <v>14</v>
      </c>
      <c r="H3" s="4" t="s">
        <v>1</v>
      </c>
      <c r="I3" s="4" t="s">
        <v>12</v>
      </c>
      <c r="J3" s="29" t="s">
        <v>55</v>
      </c>
      <c r="K3" t="str" cm="1">
        <f t="array" ref="K3">IF(OR(ISNUMBER(SEARCH(J3,$F:F)),ISNUMBER(SEARCH(J3,$H:H))),"✅ PRESENT","❌ MISSING")</f>
        <v>❌ MISSING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s="19" customFormat="1" ht="18.75" x14ac:dyDescent="0.3">
      <c r="A4" s="18">
        <v>448911617</v>
      </c>
      <c r="B4" s="26" t="s">
        <v>86</v>
      </c>
      <c r="C4" s="18" t="s">
        <v>13</v>
      </c>
      <c r="D4" s="18" t="s">
        <v>7</v>
      </c>
      <c r="E4" s="19" t="s">
        <v>18</v>
      </c>
      <c r="F4" s="19" t="s">
        <v>16</v>
      </c>
      <c r="G4" s="19" t="s">
        <v>48</v>
      </c>
      <c r="H4" s="19" t="s">
        <v>52</v>
      </c>
      <c r="I4" s="19" t="s">
        <v>88</v>
      </c>
      <c r="J4" s="29" t="s">
        <v>56</v>
      </c>
      <c r="K4" t="str" cm="1">
        <f t="array" ref="K4">IF(OR(ISNUMBER(SEARCH(J4,$F:F)),ISNUMBER(SEARCH(J4,$H:H))),"✅ PRESENT","❌ MISSING")</f>
        <v>❌ MISSING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s="11" customFormat="1" ht="18.75" x14ac:dyDescent="0.3">
      <c r="A5" s="3">
        <v>447550103</v>
      </c>
      <c r="B5" s="27" t="s">
        <v>87</v>
      </c>
      <c r="C5" s="3" t="s">
        <v>13</v>
      </c>
      <c r="D5" s="3" t="s">
        <v>17</v>
      </c>
      <c r="E5" s="4" t="s">
        <v>37</v>
      </c>
      <c r="F5" s="4" t="s">
        <v>19</v>
      </c>
      <c r="G5" s="4" t="s">
        <v>53</v>
      </c>
      <c r="H5" s="4" t="s">
        <v>20</v>
      </c>
      <c r="I5" s="4" t="s">
        <v>77</v>
      </c>
      <c r="J5" s="2" t="s">
        <v>57</v>
      </c>
      <c r="K5" t="str" cm="1">
        <f t="array" ref="K5">IF(OR(ISNUMBER(SEARCH(J5,$F:F)),ISNUMBER(SEARCH(J5,$H:H))),"✅ PRESENT","❌ MISSING")</f>
        <v>✅ PRESENT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s="20" customFormat="1" ht="18.75" x14ac:dyDescent="0.3">
      <c r="A6" s="18">
        <v>441511950</v>
      </c>
      <c r="B6" s="26" t="s">
        <v>89</v>
      </c>
      <c r="C6" s="18" t="s">
        <v>27</v>
      </c>
      <c r="D6" s="18" t="s">
        <v>7</v>
      </c>
      <c r="E6" s="19" t="s">
        <v>25</v>
      </c>
      <c r="F6" s="19" t="s">
        <v>28</v>
      </c>
      <c r="G6" s="19" t="s">
        <v>26</v>
      </c>
      <c r="H6" s="19" t="s">
        <v>29</v>
      </c>
      <c r="I6" s="19" t="s">
        <v>78</v>
      </c>
      <c r="J6" s="2" t="s">
        <v>58</v>
      </c>
      <c r="K6" t="str" cm="1">
        <f t="array" ref="K6">IF(OR(ISNUMBER(SEARCH(J6,$F:F)),ISNUMBER(SEARCH(J6,$H:H))),"✅ PRESENT","❌ MISSING")</f>
        <v>✅ PRESENT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</row>
    <row r="7" spans="1:45" s="11" customFormat="1" ht="18.75" x14ac:dyDescent="0.3">
      <c r="A7" s="3">
        <v>444994235</v>
      </c>
      <c r="B7" s="27">
        <v>345139736</v>
      </c>
      <c r="C7" s="3" t="s">
        <v>33</v>
      </c>
      <c r="D7" s="3" t="s">
        <v>7</v>
      </c>
      <c r="E7" s="4" t="s">
        <v>34</v>
      </c>
      <c r="F7" s="4" t="s">
        <v>51</v>
      </c>
      <c r="G7" s="4" t="s">
        <v>26</v>
      </c>
      <c r="H7" s="4" t="s">
        <v>50</v>
      </c>
      <c r="I7" s="4" t="s">
        <v>72</v>
      </c>
      <c r="J7" s="2" t="s">
        <v>59</v>
      </c>
      <c r="K7" t="str" cm="1">
        <f t="array" ref="K7">IF(OR(ISNUMBER(SEARCH(J7,$F:F)),ISNUMBER(SEARCH(J7,$H:H))),"✅ PRESENT","❌ MISSING")</f>
        <v>✅ PRESENT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s="19" customFormat="1" ht="18.75" x14ac:dyDescent="0.3">
      <c r="A8" s="18">
        <v>444994222</v>
      </c>
      <c r="B8" s="26" t="s">
        <v>90</v>
      </c>
      <c r="C8" s="18" t="s">
        <v>13</v>
      </c>
      <c r="D8" s="18" t="s">
        <v>6</v>
      </c>
      <c r="E8" s="21" t="s">
        <v>21</v>
      </c>
      <c r="F8" s="19" t="s">
        <v>22</v>
      </c>
      <c r="G8" s="22" t="s">
        <v>23</v>
      </c>
      <c r="H8" s="19" t="s">
        <v>32</v>
      </c>
      <c r="I8" s="19" t="s">
        <v>79</v>
      </c>
      <c r="J8" s="2" t="s">
        <v>60</v>
      </c>
      <c r="K8" t="str" cm="1">
        <f t="array" ref="K8">IF(OR(ISNUMBER(SEARCH(J8,$F:F)),ISNUMBER(SEARCH(J8,$H:H))),"✅ PRESENT","❌ MISSING")</f>
        <v>✅ PRESENT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1:45" s="11" customFormat="1" ht="18.75" x14ac:dyDescent="0.3">
      <c r="A9" s="3">
        <v>444972052</v>
      </c>
      <c r="B9" s="27" t="s">
        <v>91</v>
      </c>
      <c r="C9" s="3" t="s">
        <v>13</v>
      </c>
      <c r="D9" s="3" t="s">
        <v>6</v>
      </c>
      <c r="E9" s="12" t="s">
        <v>21</v>
      </c>
      <c r="F9" s="4" t="s">
        <v>24</v>
      </c>
      <c r="G9" s="4" t="s">
        <v>23</v>
      </c>
      <c r="H9" s="4" t="s">
        <v>32</v>
      </c>
      <c r="I9" s="4" t="s">
        <v>79</v>
      </c>
      <c r="J9" s="31" t="s">
        <v>61</v>
      </c>
      <c r="K9" t="str" cm="1">
        <f t="array" ref="K9">IF(OR(ISNUMBER(SEARCH(J9,$F:F)),ISNUMBER(SEARCH(J9,$H:H))),"✅ PRESENT","❌ MISSING")</f>
        <v>❌ MISSING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s="19" customFormat="1" ht="18.75" x14ac:dyDescent="0.3">
      <c r="A10" s="18">
        <v>444972117</v>
      </c>
      <c r="B10" s="26">
        <v>345071573</v>
      </c>
      <c r="C10" s="18" t="s">
        <v>33</v>
      </c>
      <c r="D10" s="18" t="s">
        <v>7</v>
      </c>
      <c r="E10" s="19" t="s">
        <v>34</v>
      </c>
      <c r="F10" s="19" t="s">
        <v>35</v>
      </c>
      <c r="G10" s="19" t="s">
        <v>26</v>
      </c>
      <c r="H10" s="19" t="s">
        <v>36</v>
      </c>
      <c r="I10" s="19" t="s">
        <v>80</v>
      </c>
      <c r="J10" s="31" t="s">
        <v>62</v>
      </c>
      <c r="K10" t="str" cm="1">
        <f t="array" ref="K10">IF(OR(ISNUMBER(SEARCH(J10,$F:F)),ISNUMBER(SEARCH(J10,$H:H))),"✅ PRESENT","❌ MISSING")</f>
        <v>❌ MISSING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s="11" customFormat="1" ht="18.75" x14ac:dyDescent="0.3">
      <c r="A11" s="3">
        <v>443807996</v>
      </c>
      <c r="B11" s="27" t="s">
        <v>92</v>
      </c>
      <c r="C11" s="3" t="s">
        <v>27</v>
      </c>
      <c r="D11" s="3" t="s">
        <v>7</v>
      </c>
      <c r="E11" s="12" t="s">
        <v>30</v>
      </c>
      <c r="F11" s="4" t="s">
        <v>31</v>
      </c>
      <c r="G11" s="4" t="s">
        <v>26</v>
      </c>
      <c r="H11" s="4" t="s">
        <v>32</v>
      </c>
      <c r="I11" s="4" t="s">
        <v>78</v>
      </c>
      <c r="J11" s="2" t="s">
        <v>63</v>
      </c>
      <c r="K11" t="str" cm="1">
        <f t="array" ref="K11">IF(OR(ISNUMBER(SEARCH(J11,$F:F)),ISNUMBER(SEARCH(J11,$H:H))),"✅ PRESENT","❌ MISSING")</f>
        <v>✅ PRESENT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s="19" customFormat="1" ht="18.75" x14ac:dyDescent="0.3">
      <c r="A12" s="18">
        <v>447550116</v>
      </c>
      <c r="B12" s="26" t="s">
        <v>93</v>
      </c>
      <c r="C12" s="18" t="s">
        <v>13</v>
      </c>
      <c r="D12" s="18" t="s">
        <v>7</v>
      </c>
      <c r="E12" s="19" t="s">
        <v>39</v>
      </c>
      <c r="F12" s="19" t="s">
        <v>38</v>
      </c>
      <c r="G12" s="19" t="s">
        <v>37</v>
      </c>
      <c r="H12" s="19" t="s">
        <v>40</v>
      </c>
      <c r="I12" s="19" t="s">
        <v>41</v>
      </c>
      <c r="J12" s="2" t="s">
        <v>64</v>
      </c>
      <c r="K12" t="str" cm="1">
        <f t="array" ref="K12">IF(OR(ISNUMBER(SEARCH(J12,$F:F)),ISNUMBER(SEARCH(J12,$H:H))),"✅ PRESENT","❌ MISSING")</f>
        <v>✅ PRESENT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s="11" customFormat="1" ht="18.75" x14ac:dyDescent="0.3">
      <c r="A13" s="3">
        <v>442981120</v>
      </c>
      <c r="B13" s="28" t="s">
        <v>94</v>
      </c>
      <c r="C13" s="3" t="s">
        <v>13</v>
      </c>
      <c r="D13" s="3" t="s">
        <v>7</v>
      </c>
      <c r="E13" s="4" t="s">
        <v>46</v>
      </c>
      <c r="F13" s="4" t="s">
        <v>43</v>
      </c>
      <c r="G13" s="12" t="s">
        <v>42</v>
      </c>
      <c r="H13" s="4" t="s">
        <v>45</v>
      </c>
      <c r="I13" s="4" t="s">
        <v>44</v>
      </c>
      <c r="J13" s="33" t="s">
        <v>65</v>
      </c>
      <c r="K13" t="str" cm="1">
        <f t="array" ref="K13">IF(OR(ISNUMBER(SEARCH(J13,$F:F)),ISNUMBER(SEARCH(J13,$H:H))),"✅ PRESENT","❌ MISSING")</f>
        <v>❌ MISSING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s="19" customFormat="1" ht="18.75" x14ac:dyDescent="0.3">
      <c r="A14" s="18">
        <v>448911603</v>
      </c>
      <c r="B14" s="26" t="s">
        <v>95</v>
      </c>
      <c r="C14" s="18" t="s">
        <v>13</v>
      </c>
      <c r="D14" s="18" t="s">
        <v>6</v>
      </c>
      <c r="E14" s="19" t="s">
        <v>21</v>
      </c>
      <c r="F14" s="19" t="s">
        <v>47</v>
      </c>
      <c r="G14" s="19" t="s">
        <v>48</v>
      </c>
      <c r="H14" s="19" t="s">
        <v>49</v>
      </c>
      <c r="I14" s="19" t="s">
        <v>81</v>
      </c>
      <c r="J14" s="33" t="s">
        <v>66</v>
      </c>
      <c r="K14" t="str" cm="1">
        <f t="array" ref="K14">IF(OR(ISNUMBER(SEARCH(J14,$F:F)),ISNUMBER(SEARCH(J14,$H:H))),"✅ PRESENT","❌ MISSING")</f>
        <v>❌ MISSING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s="11" customFormat="1" ht="18.75" x14ac:dyDescent="0.3">
      <c r="A15" s="23">
        <v>444994224</v>
      </c>
      <c r="B15" s="27">
        <v>345139697</v>
      </c>
      <c r="C15" s="3" t="s">
        <v>33</v>
      </c>
      <c r="D15" s="3" t="s">
        <v>6</v>
      </c>
      <c r="E15" s="12" t="s">
        <v>97</v>
      </c>
      <c r="F15" s="4"/>
      <c r="G15" s="4" t="s">
        <v>23</v>
      </c>
      <c r="H15" s="4"/>
      <c r="I15" s="4" t="s">
        <v>98</v>
      </c>
      <c r="J15" s="2" t="s">
        <v>67</v>
      </c>
      <c r="K15" t="str" cm="1">
        <f t="array" ref="K15">IF(OR(ISNUMBER(SEARCH(J15,$F:F)),ISNUMBER(SEARCH(J15,$H:H))),"✅ PRESENT","❌ MISSING")</f>
        <v>✅ PRESENT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 s="4" customFormat="1" ht="18.75" x14ac:dyDescent="0.3">
      <c r="A16" s="10"/>
      <c r="B16" s="17"/>
      <c r="C16" s="10"/>
      <c r="D16" s="10"/>
      <c r="E16" s="11"/>
      <c r="F16" s="11"/>
      <c r="G16" s="11"/>
      <c r="H16" s="11"/>
      <c r="I16" s="11"/>
      <c r="J16" s="2" t="s">
        <v>68</v>
      </c>
      <c r="K16" t="str" cm="1">
        <f t="array" ref="K16">IF(OR(ISNUMBER(SEARCH(J16,$F:F)),ISNUMBER(SEARCH(J16,$H:H))),"✅ PRESENT","❌ MISSING")</f>
        <v>✅ PRESENT</v>
      </c>
    </row>
    <row r="17" spans="1:45" s="11" customFormat="1" ht="18.75" x14ac:dyDescent="0.3">
      <c r="A17" s="3"/>
      <c r="B17" s="15"/>
      <c r="C17" s="3"/>
      <c r="D17" s="3"/>
      <c r="E17" s="4"/>
      <c r="F17" s="4"/>
      <c r="G17" s="4"/>
      <c r="H17" s="4"/>
      <c r="I17"/>
      <c r="J17" s="2" t="s">
        <v>70</v>
      </c>
      <c r="K17" t="str" cm="1">
        <f t="array" ref="K17">IF(OR(ISNUMBER(SEARCH(J17,$F:F)),ISNUMBER(SEARCH(J17,$H:H))),"✅ PRESENT","❌ MISSING")</f>
        <v>✅ PRESENT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s="4" customFormat="1" ht="18.75" x14ac:dyDescent="0.3">
      <c r="A18" s="24"/>
      <c r="B18" s="15"/>
      <c r="C18" s="3"/>
      <c r="D18" s="3"/>
      <c r="G18" s="12"/>
      <c r="I18" s="13"/>
      <c r="J18" s="2" t="s">
        <v>71</v>
      </c>
      <c r="K18" t="str" cm="1">
        <f t="array" ref="K18">IF(OR(ISNUMBER(SEARCH(J18,$F:F)),ISNUMBER(SEARCH(J18,$H:H))),"✅ PRESENT","❌ MISSING")</f>
        <v>✅ PRESENT</v>
      </c>
    </row>
    <row r="19" spans="1:45" s="11" customFormat="1" ht="18.75" x14ac:dyDescent="0.3">
      <c r="A19" s="3"/>
      <c r="B19" s="3"/>
      <c r="C19" s="3"/>
      <c r="D19" s="3"/>
      <c r="E19" s="4"/>
      <c r="F19" s="4"/>
      <c r="G19" s="4"/>
      <c r="H19" s="4"/>
      <c r="I19" s="13"/>
      <c r="J19" s="35" t="s">
        <v>82</v>
      </c>
      <c r="K19" t="str" cm="1">
        <f t="array" ref="K19">IF(OR(ISNUMBER(SEARCH(J19,$F:F)),ISNUMBER(SEARCH(J19,$H:H))),"✅ PRESENT","❌ MISSING")</f>
        <v>❌ MISSING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s="4" customFormat="1" ht="18.75" x14ac:dyDescent="0.3">
      <c r="A20" s="2"/>
      <c r="B20" s="2"/>
      <c r="C20" s="2"/>
      <c r="D20" s="2"/>
      <c r="E20"/>
      <c r="F20"/>
      <c r="G20"/>
      <c r="H20"/>
      <c r="I20" s="13"/>
      <c r="J20" s="35" t="s">
        <v>83</v>
      </c>
      <c r="K20" t="str" cm="1">
        <f t="array" ref="K20">IF(OR(ISNUMBER(SEARCH(J20,$F:F)),ISNUMBER(SEARCH(J20,$H:H))),"✅ PRESENT","❌ MISSING")</f>
        <v>❌ MISSING</v>
      </c>
    </row>
    <row r="21" spans="1:45" ht="15.75" x14ac:dyDescent="0.25">
      <c r="I21" s="13"/>
      <c r="J21" s="2"/>
    </row>
    <row r="22" spans="1:45" ht="15.75" x14ac:dyDescent="0.25">
      <c r="I22" s="13"/>
      <c r="J22" s="2"/>
      <c r="K22" s="1" t="s">
        <v>84</v>
      </c>
    </row>
    <row r="23" spans="1:45" ht="15.75" x14ac:dyDescent="0.25">
      <c r="I23" s="13"/>
    </row>
    <row r="24" spans="1:45" ht="15.75" x14ac:dyDescent="0.25">
      <c r="K24" s="30" t="s">
        <v>73</v>
      </c>
    </row>
    <row r="25" spans="1:45" ht="15.75" x14ac:dyDescent="0.25">
      <c r="K25" s="32" t="s">
        <v>74</v>
      </c>
    </row>
    <row r="26" spans="1:45" ht="15.75" x14ac:dyDescent="0.25">
      <c r="K26" s="34" t="s">
        <v>75</v>
      </c>
    </row>
    <row r="27" spans="1:45" x14ac:dyDescent="0.25">
      <c r="K27" s="36" t="s">
        <v>76</v>
      </c>
    </row>
  </sheetData>
  <conditionalFormatting sqref="A1:B2 A13:B13 A19:B1048576 B18 A3:A12 A16:B17 A14">
    <cfRule type="duplicateValues" dxfId="4" priority="3"/>
  </conditionalFormatting>
  <conditionalFormatting sqref="A16:B17 A1:B2 A13:B13 A19:B1048576 B18 A3:A12 A14">
    <cfRule type="duplicateValues" dxfId="3" priority="5"/>
  </conditionalFormatting>
  <conditionalFormatting sqref="F1:F1048576">
    <cfRule type="duplicateValues" dxfId="2" priority="4"/>
  </conditionalFormatting>
  <conditionalFormatting sqref="J2:J18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7fe3146-0989-4592-9721-540c467698fa"/>
    <_ip_UnifiedCompliancePolicyUIAction xmlns="http://schemas.microsoft.com/sharepoint/v3" xsi:nil="true"/>
    <Creator xmlns="dcdb609d-982d-45bd-adfa-90751c2b65f8">
      <UserInfo>
        <DisplayName/>
        <AccountId xsi:nil="true"/>
        <AccountType/>
      </UserInfo>
    </Creator>
    <MoreInfo xmlns="dcdb609d-982d-45bd-adfa-90751c2b65f8" xsi:nil="true"/>
    <lcf76f155ced4ddcb4097134ff3c332f xmlns="dcdb609d-982d-45bd-adfa-90751c2b65f8">
      <Terms xmlns="http://schemas.microsoft.com/office/infopath/2007/PartnerControls"/>
    </lcf76f155ced4ddcb4097134ff3c332f>
    <_ip_UnifiedCompliancePolicyProperties xmlns="http://schemas.microsoft.com/sharepoint/v3" xsi:nil="true"/>
    <Thumb xmlns="dcdb609d-982d-45bd-adfa-90751c2b65f8" xsi:nil="true"/>
    <Writer xmlns="dcdb609d-982d-45bd-adfa-90751c2b65f8">
      <UserInfo>
        <DisplayName/>
        <AccountId xsi:nil="true"/>
        <AccountType/>
      </UserInfo>
    </Writer>
    <LOB xmlns="dcdb609d-982d-45bd-adfa-90751c2b65f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2B42BF7E9FA24DBA9EE23E47E1DF26" ma:contentTypeVersion="31" ma:contentTypeDescription="Create a new document." ma:contentTypeScope="" ma:versionID="43d6a69c42ea7e21d940f62889cc5a81">
  <xsd:schema xmlns:xsd="http://www.w3.org/2001/XMLSchema" xmlns:xs="http://www.w3.org/2001/XMLSchema" xmlns:p="http://schemas.microsoft.com/office/2006/metadata/properties" xmlns:ns1="http://schemas.microsoft.com/sharepoint/v3" xmlns:ns2="dcdb609d-982d-45bd-adfa-90751c2b65f8" xmlns:ns3="a9f0ff11-5e4a-4cd7-96f8-a6f4dd41ad36" xmlns:ns4="a7fe3146-0989-4592-9721-540c467698fa" targetNamespace="http://schemas.microsoft.com/office/2006/metadata/properties" ma:root="true" ma:fieldsID="84bd4ce2ea4e72c0e758a7f1973cc7cc" ns1:_="" ns2:_="" ns3:_="" ns4:_="">
    <xsd:import namespace="http://schemas.microsoft.com/sharepoint/v3"/>
    <xsd:import namespace="dcdb609d-982d-45bd-adfa-90751c2b65f8"/>
    <xsd:import namespace="a9f0ff11-5e4a-4cd7-96f8-a6f4dd41ad36"/>
    <xsd:import namespace="a7fe3146-0989-4592-9721-540c467698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LOB" minOccurs="0"/>
                <xsd:element ref="ns2:Thumb" minOccurs="0"/>
                <xsd:element ref="ns2:Writer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  <xsd:element ref="ns2:Creator" minOccurs="0"/>
                <xsd:element ref="ns2:MoreInf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db609d-982d-45bd-adfa-90751c2b65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f2c06f6-5083-4159-babb-c09886256b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OB" ma:index="26" nillable="true" ma:displayName="LOB" ma:format="Dropdown" ma:internalName="LOB">
      <xsd:simpleType>
        <xsd:restriction base="dms:Text">
          <xsd:maxLength value="255"/>
        </xsd:restriction>
      </xsd:simpleType>
    </xsd:element>
    <xsd:element name="Thumb" ma:index="27" nillable="true" ma:displayName="Test" ma:description="---" ma:format="Thumbnail" ma:internalName="Thumb">
      <xsd:simpleType>
        <xsd:restriction base="dms:Unknown"/>
      </xsd:simpleType>
    </xsd:element>
    <xsd:element name="Writer" ma:index="28" nillable="true" ma:displayName="Writer" ma:format="Dropdown" ma:list="UserInfo" ma:SharePointGroup="0" ma:internalName="Writ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Creator" ma:index="32" nillable="true" ma:displayName="Creator" ma:format="Dropdown" ma:list="UserInfo" ma:SharePointGroup="0" ma:internalName="Creat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oreInfo" ma:index="33" nillable="true" ma:displayName="More Info" ma:default="n/a" ma:description="If you have instructions or additional info, please add that here." ma:format="Dropdown" ma:internalName="MoreInfo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0ff11-5e4a-4cd7-96f8-a6f4dd41ad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fe3146-0989-4592-9721-540c467698fa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45ea218-79c6-4f01-be15-a3438931e707}" ma:internalName="TaxCatchAll" ma:showField="CatchAllData" ma:web="a9f0ff11-5e4a-4cd7-96f8-a6f4dd41ad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98338-4915-4723-BC2A-F0D2BFE2F4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1D1368-F3D7-417D-A460-1CEB40FD4B44}">
  <ds:schemaRefs>
    <ds:schemaRef ds:uri="http://purl.org/dc/terms/"/>
    <ds:schemaRef ds:uri="http://schemas.microsoft.com/sharepoint/v3"/>
    <ds:schemaRef ds:uri="http://purl.org/dc/dcmitype/"/>
    <ds:schemaRef ds:uri="a9f0ff11-5e4a-4cd7-96f8-a6f4dd41ad36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a7fe3146-0989-4592-9721-540c467698fa"/>
    <ds:schemaRef ds:uri="http://schemas.microsoft.com/office/2006/documentManagement/types"/>
    <ds:schemaRef ds:uri="dcdb609d-982d-45bd-adfa-90751c2b65f8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494251A-F6FC-4042-8A12-22C85ACA00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db609d-982d-45bd-adfa-90751c2b65f8"/>
    <ds:schemaRef ds:uri="a9f0ff11-5e4a-4cd7-96f8-a6f4dd41ad36"/>
    <ds:schemaRef ds:uri="a7fe3146-0989-4592-9721-540c467698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af72c41-31f4-4d40-a6d0-808117dc4d77}" enabled="1" method="Standard" siteId="{be0f980b-dd99-4b19-bd7b-bc71a09b026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circuits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Steines, Perry</dc:creator>
  <cp:lastModifiedBy>Yost, Steven</cp:lastModifiedBy>
  <dcterms:created xsi:type="dcterms:W3CDTF">2026-03-27T19:22:52Z</dcterms:created>
  <dcterms:modified xsi:type="dcterms:W3CDTF">2026-07-28T13:40:47Z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0x010100912B42BF7E9FA24DBA9EE23E47E1DF26</vt:lpwstr>
  </property>
</Properties>
</file>